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49697906cb224f/Desktop/Data_Analysis_Set_A_10861/"/>
    </mc:Choice>
  </mc:AlternateContent>
  <xr:revisionPtr revIDLastSave="0" documentId="8_{A2FB13C2-2F5E-47F6-B0AF-1D292524132B}" xr6:coauthVersionLast="47" xr6:coauthVersionMax="47" xr10:uidLastSave="{00000000-0000-0000-0000-000000000000}"/>
  <bookViews>
    <workbookView xWindow="-108" yWindow="-108" windowWidth="23256" windowHeight="13896" activeTab="3" xr2:uid="{54DC1E56-A01D-427B-924F-1B142F843AB8}"/>
  </bookViews>
  <sheets>
    <sheet name="Raw" sheetId="2" r:id="rId1"/>
    <sheet name="Lookup" sheetId="3" r:id="rId2"/>
    <sheet name="Clean" sheetId="1" r:id="rId3"/>
    <sheet name="Summary" sheetId="4" r:id="rId4"/>
  </sheets>
  <definedNames>
    <definedName name="ExternalData_1" localSheetId="1" hidden="1">Lookup!$A$1:$C$6</definedName>
    <definedName name="ExternalData_1" localSheetId="0" hidden="1">Raw!$A$1:$F$14</definedName>
    <definedName name="ExternalData_2" localSheetId="2" hidden="1">Clean!$A$1:$F$13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2" i="4"/>
  <c r="H2" i="1"/>
  <c r="H3" i="1"/>
  <c r="H4" i="1"/>
  <c r="H5" i="1"/>
  <c r="H6" i="1"/>
  <c r="H7" i="1"/>
  <c r="H8" i="1"/>
  <c r="H9" i="1"/>
  <c r="H10" i="1"/>
  <c r="H11" i="1"/>
  <c r="H12" i="1"/>
  <c r="H13" i="1"/>
  <c r="C17" i="1"/>
  <c r="G2" i="1"/>
  <c r="G3" i="1"/>
  <c r="G4" i="1"/>
  <c r="G5" i="1"/>
  <c r="G6" i="1"/>
  <c r="G7" i="1"/>
  <c r="G8" i="1"/>
  <c r="G9" i="1"/>
  <c r="G10" i="1"/>
  <c r="G11" i="1"/>
  <c r="G12" i="1"/>
  <c r="G1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B297EF-9696-4D2E-96FF-F51ABA97692F}" keepAlive="1" name="Query - Deliveries" description="Connection to the 'Deliveries' query in the workbook." type="5" refreshedVersion="8" background="1" saveData="1">
    <dbPr connection="Provider=Microsoft.Mashup.OleDb.1;Data Source=$Workbook$;Location=Deliveries;Extended Properties=&quot;&quot;" command="SELECT * FROM [Deliveries]"/>
  </connection>
  <connection id="2" xr16:uid="{55C7B745-0A27-4F33-97EC-E8541D5A19EA}" keepAlive="1" name="Query - Deliveries (2)" description="Connection to the 'Deliveries (2)' query in the workbook." type="5" refreshedVersion="8" background="1" saveData="1">
    <dbPr connection="Provider=Microsoft.Mashup.OleDb.1;Data Source=$Workbook$;Location=&quot;Deliveries (2)&quot;;Extended Properties=&quot;&quot;" command="SELECT * FROM [Deliveries (2)]"/>
  </connection>
  <connection id="3" xr16:uid="{A6FB67DC-F624-47F6-A31B-3BEAF6627D1E}" keepAlive="1" name="Query - Deliveries (3)" description="Connection to the 'Deliveries (3)' query in the workbook." type="5" refreshedVersion="8" background="1" saveData="1">
    <dbPr connection="Provider=Microsoft.Mashup.OleDb.1;Data Source=$Workbook$;Location=&quot;Deliveries (3)&quot;;Extended Properties=&quot;&quot;" command="SELECT * FROM [Deliveries (3)]"/>
  </connection>
  <connection id="4" xr16:uid="{824A221C-8CAE-45E6-B954-76E319C06828}" keepAlive="1" name="Query - routes" description="Connection to the 'routes' query in the workbook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<sst xmlns="http://schemas.openxmlformats.org/spreadsheetml/2006/main" count="123" uniqueCount="34">
  <si>
    <t>record_id</t>
  </si>
  <si>
    <t>month</t>
  </si>
  <si>
    <t>route_id</t>
  </si>
  <si>
    <t>hub</t>
  </si>
  <si>
    <t>promised_days</t>
  </si>
  <si>
    <t>actual_days</t>
  </si>
  <si>
    <t>Jan</t>
  </si>
  <si>
    <t>R1</t>
  </si>
  <si>
    <t>Mumbai</t>
  </si>
  <si>
    <t>R2</t>
  </si>
  <si>
    <t>Chennai</t>
  </si>
  <si>
    <t>R3</t>
  </si>
  <si>
    <t>Delhi</t>
  </si>
  <si>
    <t>R4</t>
  </si>
  <si>
    <t>Feb</t>
  </si>
  <si>
    <t>Mar</t>
  </si>
  <si>
    <t>route</t>
  </si>
  <si>
    <t>service_type</t>
  </si>
  <si>
    <t>Metro Link</t>
  </si>
  <si>
    <t>Express</t>
  </si>
  <si>
    <t>City Dash</t>
  </si>
  <si>
    <t>Highway Freight</t>
  </si>
  <si>
    <t>Standard</t>
  </si>
  <si>
    <t>Rural Feeder</t>
  </si>
  <si>
    <t/>
  </si>
  <si>
    <t>Service_type</t>
  </si>
  <si>
    <t>Clean Records</t>
  </si>
  <si>
    <t>delay_days</t>
  </si>
  <si>
    <t>Hub</t>
  </si>
  <si>
    <t>Total Delay</t>
  </si>
  <si>
    <t>Row Labels</t>
  </si>
  <si>
    <t>Grand Total</t>
  </si>
  <si>
    <t>Column Labels</t>
  </si>
  <si>
    <t>Sum of delay_days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</si>
</sst>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[Delivery_Delay.xlsx]Summary!PivotTable1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Summary!$B$7:$B$8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Summary!$B$9:$B$11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7-4ABE-B1B8-B448B8C941D8}"/>
            </c:ext>
          </c:extLst>
        </c:ser>
        <c:ser>
          <c:idx val="1"/>
          <c:order val="1"/>
          <c:tx>
            <c:strRef>
              <c:f>Summary!$C$7:$C$8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Summary!$C$9:$C$11</c:f>
              <c:numCache>
                <c:formatCode>General</c:formatCode>
                <c:ptCount val="2"/>
                <c:pt idx="0">
                  <c:v>3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D7-4ABE-B1B8-B448B8C941D8}"/>
            </c:ext>
          </c:extLst>
        </c:ser>
        <c:ser>
          <c:idx val="2"/>
          <c:order val="2"/>
          <c:tx>
            <c:strRef>
              <c:f>Summary!$D$7:$D$8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Summary!$A$9:$A$11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Summary!$D$9:$D$11</c:f>
              <c:numCache>
                <c:formatCode>General</c:formatCode>
                <c:ptCount val="2"/>
                <c:pt idx="0">
                  <c:v>8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7-4ABE-B1B8-B448B8C94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3138687"/>
        <c:axId val="874464655"/>
      </c:barChart>
      <c:catAx>
        <c:axId val="9631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464655"/>
        <c:crosses val="autoZero"/>
        <c:auto val="1"/>
        <c:lblAlgn val="ctr"/>
        <c:lblOffset val="100"/>
        <c:noMultiLvlLbl val="0"/>
      </c:catAx>
      <c:valAx>
        <c:axId val="87446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13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0</xdr:row>
      <xdr:rowOff>53340</xdr:rowOff>
    </xdr:from>
    <xdr:to>
      <xdr:col>13</xdr:col>
      <xdr:colOff>312420</xdr:colOff>
      <xdr:row>14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2ECC4-9545-44AB-184A-64B0EC964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l" refreshedDate="46291.52658888889" createdVersion="8" refreshedVersion="8" minRefreshableVersion="3" recordCount="12" xr:uid="{19B188AF-BEA9-4D9B-9D32-2F973AD668E8}">
  <cacheSource type="worksheet">
    <worksheetSource name="Deliveries5"/>
  </cacheSource>
  <cacheFields count="8">
    <cacheField name="record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route_id" numFmtId="0">
      <sharedItems/>
    </cacheField>
    <cacheField name="hub" numFmtId="0">
      <sharedItems/>
    </cacheField>
    <cacheField name="promised_days" numFmtId="0">
      <sharedItems containsSemiMixedTypes="0" containsString="0" containsNumber="1" containsInteger="1" minValue="2" maxValue="6"/>
    </cacheField>
    <cacheField name="actual_days" numFmtId="0">
      <sharedItems containsSemiMixedTypes="0" containsString="0" containsNumber="1" containsInteger="1" minValue="2" maxValue="15"/>
    </cacheField>
    <cacheField name="Service_type" numFmtId="0">
      <sharedItems count="2">
        <s v="Express"/>
        <s v="Standard"/>
      </sharedItems>
    </cacheField>
    <cacheField name="delay_days" numFmtId="0">
      <sharedItems containsSemiMixedTypes="0" containsString="0" containsNumber="1" containsInteger="1" minValue="0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  <s v="R1"/>
    <s v="Mumbai"/>
    <n v="2"/>
    <n v="2"/>
    <x v="0"/>
    <n v="0"/>
  </r>
  <r>
    <n v="2"/>
    <x v="0"/>
    <s v="R2"/>
    <s v="Chennai"/>
    <n v="3"/>
    <n v="4"/>
    <x v="0"/>
    <n v="1"/>
  </r>
  <r>
    <n v="3"/>
    <x v="0"/>
    <s v="R3"/>
    <s v="Delhi"/>
    <n v="5"/>
    <n v="8"/>
    <x v="1"/>
    <n v="3"/>
  </r>
  <r>
    <n v="4"/>
    <x v="0"/>
    <s v="R4"/>
    <s v="Mumbai"/>
    <n v="6"/>
    <n v="10"/>
    <x v="1"/>
    <n v="4"/>
  </r>
  <r>
    <n v="5"/>
    <x v="1"/>
    <s v="R1"/>
    <s v="Chennai"/>
    <n v="2"/>
    <n v="5"/>
    <x v="0"/>
    <n v="3"/>
  </r>
  <r>
    <n v="6"/>
    <x v="1"/>
    <s v="R2"/>
    <s v="Delhi"/>
    <n v="3"/>
    <n v="3"/>
    <x v="0"/>
    <n v="0"/>
  </r>
  <r>
    <n v="7"/>
    <x v="1"/>
    <s v="R3"/>
    <s v="Delhi"/>
    <n v="5"/>
    <n v="10"/>
    <x v="1"/>
    <n v="5"/>
  </r>
  <r>
    <n v="8"/>
    <x v="1"/>
    <s v="R4"/>
    <s v="Chennai"/>
    <n v="6"/>
    <n v="7"/>
    <x v="1"/>
    <n v="1"/>
  </r>
  <r>
    <n v="9"/>
    <x v="2"/>
    <s v="R1"/>
    <s v="Delhi"/>
    <n v="2"/>
    <n v="8"/>
    <x v="0"/>
    <n v="6"/>
  </r>
  <r>
    <n v="10"/>
    <x v="2"/>
    <s v="R2"/>
    <s v="Mumbai"/>
    <n v="3"/>
    <n v="5"/>
    <x v="0"/>
    <n v="2"/>
  </r>
  <r>
    <n v="11"/>
    <x v="2"/>
    <s v="R3"/>
    <s v="Chennai"/>
    <n v="5"/>
    <n v="5"/>
    <x v="1"/>
    <n v="0"/>
  </r>
  <r>
    <n v="12"/>
    <x v="2"/>
    <s v="R4"/>
    <s v="Mumbai"/>
    <n v="6"/>
    <n v="15"/>
    <x v="1"/>
    <n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F04AD-6B81-45EF-8FBC-3C2CDF60638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:E11" firstHeaderRow="1" firstDataRow="2" firstDataCol="1"/>
  <pivotFields count="8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6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delay_days" fld="7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2ACF49-328C-41C3-A1FD-96F58A0E9012}" autoFormatId="16" applyNumberFormats="0" applyBorderFormats="0" applyFontFormats="0" applyPatternFormats="0" applyAlignmentFormats="0" applyWidthHeightFormats="0">
  <queryTableRefresh nextId="7">
    <queryTableFields count="6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BDF44BD-0737-4096-BA6D-6319E261CCD6}" autoFormatId="16" applyNumberFormats="0" applyBorderFormats="0" applyFontFormats="0" applyPatternFormats="0" applyAlignmentFormats="0" applyWidthHeightFormats="0">
  <queryTableRefresh nextId="4">
    <queryTableFields count="3">
      <queryTableField id="1" name="route_id" tableColumnId="1"/>
      <queryTableField id="2" name="route" tableColumnId="2"/>
      <queryTableField id="3" name="service_typ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286DEA2-B842-40AA-B407-902BCC153485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record_id" tableColumnId="1"/>
      <queryTableField id="2" name="month" tableColumnId="2"/>
      <queryTableField id="3" name="route_id" tableColumnId="3"/>
      <queryTableField id="4" name="hub" tableColumnId="4"/>
      <queryTableField id="5" name="promised_days" tableColumnId="5"/>
      <queryTableField id="6" name="actual_days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9BA70-3A6A-4BF8-8676-1FE01EE3A5BF}" name="Deliveries" displayName="Deliveries" ref="A1:F14" tableType="queryTable" totalsRowShown="0">
  <autoFilter ref="A1:F14" xr:uid="{74C9BA70-3A6A-4BF8-8676-1FE01EE3A5BF}"/>
  <tableColumns count="6">
    <tableColumn id="1" xr3:uid="{0DC5F8A4-D3DE-4D2D-8785-FC5912DB7EC9}" uniqueName="1" name="record_id" queryTableFieldId="1"/>
    <tableColumn id="2" xr3:uid="{C8101A3A-1CCB-467C-978D-CD2BD5AE3D26}" uniqueName="2" name="month" queryTableFieldId="2" dataDxfId="10"/>
    <tableColumn id="3" xr3:uid="{B988289B-3FB7-44FC-98F3-ED5B3FAFA081}" uniqueName="3" name="route_id" queryTableFieldId="3" dataDxfId="9"/>
    <tableColumn id="4" xr3:uid="{EBE63ECF-0110-47A0-8728-786E69A5FCF6}" uniqueName="4" name="hub" queryTableFieldId="4" dataDxfId="8"/>
    <tableColumn id="5" xr3:uid="{F21934AC-0602-4927-841E-CCABAB2827E3}" uniqueName="5" name="promised_days" queryTableFieldId="5"/>
    <tableColumn id="6" xr3:uid="{7736A11F-3D7A-496A-8ED6-8B4308B88A74}" uniqueName="6" name="actual_days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52185-AF73-48CD-8079-A3FB0B8557E4}" name="routes" displayName="routes" ref="A1:C6" tableType="queryTable" totalsRowShown="0">
  <autoFilter ref="A1:C6" xr:uid="{C6A52185-AF73-48CD-8079-A3FB0B8557E4}"/>
  <tableColumns count="3">
    <tableColumn id="1" xr3:uid="{8B91792D-92B0-4F79-96AF-FF9AC1DF6B67}" uniqueName="1" name="route_id" queryTableFieldId="1" dataDxfId="7"/>
    <tableColumn id="2" xr3:uid="{A69026BC-572C-4098-BADC-BFC229A04481}" uniqueName="2" name="route" queryTableFieldId="2" dataDxfId="6"/>
    <tableColumn id="3" xr3:uid="{0DF2AE1A-19FE-4501-857A-E0E5804021EF}" uniqueName="3" name="service_type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E1DFFC-DBF5-403F-8225-329609CC67B7}" name="Deliveries5" displayName="Deliveries5" ref="A1:H13" tableType="queryTable" totalsRowShown="0">
  <autoFilter ref="A1:H13" xr:uid="{F9E1DFFC-DBF5-403F-8225-329609CC67B7}"/>
  <tableColumns count="8">
    <tableColumn id="1" xr3:uid="{F8550DB2-59D4-40F0-854C-487666EE3D05}" uniqueName="1" name="record_id" queryTableFieldId="1"/>
    <tableColumn id="2" xr3:uid="{85821A33-2D01-4A90-8539-067A1E64DAD8}" uniqueName="2" name="month" queryTableFieldId="2" dataDxfId="4"/>
    <tableColumn id="3" xr3:uid="{10A2B731-91BC-4401-88D8-81464C77B1A6}" uniqueName="3" name="route_id" queryTableFieldId="3" dataDxfId="3"/>
    <tableColumn id="4" xr3:uid="{883C2635-3504-4EE4-A060-E7006E39A5A3}" uniqueName="4" name="hub" queryTableFieldId="4" dataDxfId="2"/>
    <tableColumn id="5" xr3:uid="{81FB86F7-52FB-4E9F-B3AC-1C11CF4AD176}" uniqueName="5" name="promised_days" queryTableFieldId="5"/>
    <tableColumn id="6" xr3:uid="{3E52B102-60A5-4322-B773-6D1D5F4B067C}" uniqueName="6" name="actual_days" queryTableFieldId="6"/>
    <tableColumn id="7" xr3:uid="{CE84043D-DE2B-4E65-813D-7694B6A041DC}" uniqueName="7" name="Service_type" queryTableFieldId="7" dataDxfId="1">
      <calculatedColumnFormula xml:space="preserve"> _xlfn.XLOOKUP(C2,Lookup!A:A,Lookup!C:C)</calculatedColumnFormula>
    </tableColumn>
    <tableColumn id="8" xr3:uid="{E2DF6E99-6462-4247-95D7-03CE26FCCFED}" uniqueName="8" name="delay_days" queryTableFieldId="8" dataDxfId="0">
      <calculatedColumnFormula xml:space="preserve"> MAX(F2-E2,0)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6172-1315-4C99-84E4-66FA1B58A507}">
  <dimension ref="A1:F14"/>
  <sheetViews>
    <sheetView workbookViewId="0">
      <selection sqref="A1:F14"/>
    </sheetView>
  </sheetViews>
  <sheetFormatPr defaultRowHeight="14.4" x14ac:dyDescent="0.3"/>
  <cols>
    <col min="1" max="1" width="11.109375" bestFit="1" customWidth="1"/>
    <col min="2" max="2" width="8.5546875" bestFit="1" customWidth="1"/>
    <col min="3" max="3" width="10" bestFit="1" customWidth="1"/>
    <col min="4" max="4" width="7.6640625" bestFit="1" customWidth="1"/>
    <col min="5" max="5" width="16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 s="1" t="s">
        <v>8</v>
      </c>
      <c r="E2">
        <v>2</v>
      </c>
      <c r="F2">
        <v>2</v>
      </c>
    </row>
    <row r="3" spans="1:6" x14ac:dyDescent="0.3">
      <c r="A3">
        <v>2</v>
      </c>
      <c r="B3" s="1" t="s">
        <v>6</v>
      </c>
      <c r="C3" s="1" t="s">
        <v>9</v>
      </c>
      <c r="D3" s="1" t="s">
        <v>10</v>
      </c>
      <c r="E3">
        <v>3</v>
      </c>
      <c r="F3">
        <v>4</v>
      </c>
    </row>
    <row r="4" spans="1:6" x14ac:dyDescent="0.3">
      <c r="A4">
        <v>3</v>
      </c>
      <c r="B4" s="1" t="s">
        <v>6</v>
      </c>
      <c r="C4" s="1" t="s">
        <v>11</v>
      </c>
      <c r="D4" s="1" t="s">
        <v>12</v>
      </c>
      <c r="E4">
        <v>5</v>
      </c>
      <c r="F4">
        <v>8</v>
      </c>
    </row>
    <row r="5" spans="1:6" x14ac:dyDescent="0.3">
      <c r="A5">
        <v>4</v>
      </c>
      <c r="B5" s="1" t="s">
        <v>6</v>
      </c>
      <c r="C5" s="1" t="s">
        <v>13</v>
      </c>
      <c r="D5" s="1" t="s">
        <v>8</v>
      </c>
      <c r="E5">
        <v>6</v>
      </c>
      <c r="F5">
        <v>10</v>
      </c>
    </row>
    <row r="6" spans="1:6" x14ac:dyDescent="0.3">
      <c r="A6">
        <v>5</v>
      </c>
      <c r="B6" s="1" t="s">
        <v>14</v>
      </c>
      <c r="C6" s="1" t="s">
        <v>7</v>
      </c>
      <c r="D6" s="1" t="s">
        <v>10</v>
      </c>
      <c r="E6">
        <v>2</v>
      </c>
      <c r="F6">
        <v>5</v>
      </c>
    </row>
    <row r="7" spans="1:6" x14ac:dyDescent="0.3">
      <c r="A7">
        <v>6</v>
      </c>
      <c r="B7" s="1" t="s">
        <v>14</v>
      </c>
      <c r="C7" s="1" t="s">
        <v>9</v>
      </c>
      <c r="D7" s="1" t="s">
        <v>12</v>
      </c>
      <c r="E7">
        <v>3</v>
      </c>
      <c r="F7">
        <v>3</v>
      </c>
    </row>
    <row r="8" spans="1:6" x14ac:dyDescent="0.3">
      <c r="A8">
        <v>7</v>
      </c>
      <c r="B8" s="1" t="s">
        <v>14</v>
      </c>
      <c r="C8" s="1" t="s">
        <v>11</v>
      </c>
      <c r="D8" s="1" t="s">
        <v>12</v>
      </c>
      <c r="E8">
        <v>5</v>
      </c>
      <c r="F8">
        <v>10</v>
      </c>
    </row>
    <row r="9" spans="1:6" x14ac:dyDescent="0.3">
      <c r="A9">
        <v>8</v>
      </c>
      <c r="B9" s="1" t="s">
        <v>14</v>
      </c>
      <c r="C9" s="1" t="s">
        <v>13</v>
      </c>
      <c r="D9" s="1" t="s">
        <v>10</v>
      </c>
      <c r="E9">
        <v>6</v>
      </c>
      <c r="F9">
        <v>7</v>
      </c>
    </row>
    <row r="10" spans="1:6" x14ac:dyDescent="0.3">
      <c r="A10">
        <v>9</v>
      </c>
      <c r="B10" s="1" t="s">
        <v>15</v>
      </c>
      <c r="C10" s="1" t="s">
        <v>7</v>
      </c>
      <c r="D10" s="1" t="s">
        <v>12</v>
      </c>
      <c r="E10">
        <v>2</v>
      </c>
      <c r="F10">
        <v>8</v>
      </c>
    </row>
    <row r="11" spans="1:6" x14ac:dyDescent="0.3">
      <c r="A11">
        <v>10</v>
      </c>
      <c r="B11" s="1" t="s">
        <v>15</v>
      </c>
      <c r="C11" s="1" t="s">
        <v>9</v>
      </c>
      <c r="D11" s="1" t="s">
        <v>8</v>
      </c>
      <c r="E11">
        <v>3</v>
      </c>
      <c r="F11">
        <v>5</v>
      </c>
    </row>
    <row r="12" spans="1:6" x14ac:dyDescent="0.3">
      <c r="A12">
        <v>11</v>
      </c>
      <c r="B12" s="1" t="s">
        <v>15</v>
      </c>
      <c r="C12" s="1" t="s">
        <v>11</v>
      </c>
      <c r="D12" s="1" t="s">
        <v>10</v>
      </c>
      <c r="E12">
        <v>5</v>
      </c>
      <c r="F12">
        <v>5</v>
      </c>
    </row>
    <row r="13" spans="1:6" x14ac:dyDescent="0.3">
      <c r="A13">
        <v>12</v>
      </c>
      <c r="B13" s="1" t="s">
        <v>15</v>
      </c>
      <c r="C13" s="1" t="s">
        <v>13</v>
      </c>
      <c r="D13" s="1" t="s">
        <v>8</v>
      </c>
      <c r="E13">
        <v>6</v>
      </c>
      <c r="F13">
        <v>15</v>
      </c>
    </row>
    <row r="14" spans="1:6" x14ac:dyDescent="0.3">
      <c r="A14">
        <v>12</v>
      </c>
      <c r="B14" s="1" t="s">
        <v>15</v>
      </c>
      <c r="C14" s="1" t="s">
        <v>13</v>
      </c>
      <c r="D14" s="1" t="s">
        <v>8</v>
      </c>
      <c r="E14">
        <v>6</v>
      </c>
      <c r="F14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2C88-0CC1-4035-9A68-0A41FA99F896}">
  <dimension ref="A1:C6"/>
  <sheetViews>
    <sheetView workbookViewId="0">
      <selection activeCell="B11" sqref="B11"/>
    </sheetView>
  </sheetViews>
  <sheetFormatPr defaultRowHeight="14.4" x14ac:dyDescent="0.3"/>
  <cols>
    <col min="1" max="1" width="10" bestFit="1" customWidth="1"/>
    <col min="2" max="2" width="13.77734375" bestFit="1" customWidth="1"/>
    <col min="3" max="3" width="13.6640625" bestFit="1" customWidth="1"/>
  </cols>
  <sheetData>
    <row r="1" spans="1:3" x14ac:dyDescent="0.3">
      <c r="A1" t="s">
        <v>2</v>
      </c>
      <c r="B1" t="s">
        <v>16</v>
      </c>
      <c r="C1" t="s">
        <v>17</v>
      </c>
    </row>
    <row r="2" spans="1:3" x14ac:dyDescent="0.3">
      <c r="A2" s="1" t="s">
        <v>7</v>
      </c>
      <c r="B2" s="1" t="s">
        <v>18</v>
      </c>
      <c r="C2" s="1" t="s">
        <v>19</v>
      </c>
    </row>
    <row r="3" spans="1:3" x14ac:dyDescent="0.3">
      <c r="A3" s="1" t="s">
        <v>9</v>
      </c>
      <c r="B3" s="1" t="s">
        <v>20</v>
      </c>
      <c r="C3" s="1" t="s">
        <v>19</v>
      </c>
    </row>
    <row r="4" spans="1:3" x14ac:dyDescent="0.3">
      <c r="A4" s="1" t="s">
        <v>11</v>
      </c>
      <c r="B4" s="1" t="s">
        <v>21</v>
      </c>
      <c r="C4" s="1" t="s">
        <v>22</v>
      </c>
    </row>
    <row r="5" spans="1:3" x14ac:dyDescent="0.3">
      <c r="A5" s="1" t="s">
        <v>13</v>
      </c>
      <c r="B5" s="1" t="s">
        <v>23</v>
      </c>
      <c r="C5" s="1" t="s">
        <v>22</v>
      </c>
    </row>
    <row r="6" spans="1:3" x14ac:dyDescent="0.3">
      <c r="A6" s="1" t="s">
        <v>24</v>
      </c>
      <c r="B6" s="1" t="s">
        <v>24</v>
      </c>
      <c r="C6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E29B-580C-4F8E-A96A-8E45DD91FE97}">
  <dimension ref="A1:H17"/>
  <sheetViews>
    <sheetView workbookViewId="0">
      <selection activeCell="D1" sqref="D1"/>
    </sheetView>
  </sheetViews>
  <sheetFormatPr defaultRowHeight="14.4" x14ac:dyDescent="0.3"/>
  <cols>
    <col min="2" max="2" width="12.6640625" bestFit="1" customWidth="1"/>
    <col min="7" max="7" width="13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25</v>
      </c>
      <c r="H1" t="s">
        <v>27</v>
      </c>
    </row>
    <row r="2" spans="1:8" x14ac:dyDescent="0.3">
      <c r="A2" s="1">
        <v>1</v>
      </c>
      <c r="B2" s="2" t="s">
        <v>6</v>
      </c>
      <c r="C2" s="2" t="s">
        <v>7</v>
      </c>
      <c r="D2" s="2" t="s">
        <v>8</v>
      </c>
      <c r="E2" s="1">
        <v>2</v>
      </c>
      <c r="F2">
        <v>2</v>
      </c>
      <c r="G2" s="1" t="str">
        <f xml:space="preserve"> _xlfn.XLOOKUP(C2,Lookup!A:A,Lookup!C:C)</f>
        <v>Express</v>
      </c>
      <c r="H2" s="1">
        <f t="shared" ref="H2:H13" si="0" xml:space="preserve"> MAX(F2-E2,0)</f>
        <v>0</v>
      </c>
    </row>
    <row r="3" spans="1:8" x14ac:dyDescent="0.3">
      <c r="A3">
        <v>2</v>
      </c>
      <c r="B3" s="1" t="s">
        <v>6</v>
      </c>
      <c r="C3" s="1" t="s">
        <v>9</v>
      </c>
      <c r="D3" s="1" t="s">
        <v>10</v>
      </c>
      <c r="E3">
        <v>3</v>
      </c>
      <c r="F3">
        <v>4</v>
      </c>
      <c r="G3" s="1" t="str">
        <f xml:space="preserve"> _xlfn.XLOOKUP(C3,Lookup!A:A,Lookup!C:C)</f>
        <v>Express</v>
      </c>
      <c r="H3" s="1">
        <f t="shared" si="0"/>
        <v>1</v>
      </c>
    </row>
    <row r="4" spans="1:8" x14ac:dyDescent="0.3">
      <c r="A4">
        <v>3</v>
      </c>
      <c r="B4" s="1" t="s">
        <v>6</v>
      </c>
      <c r="C4" s="1" t="s">
        <v>11</v>
      </c>
      <c r="D4" s="1" t="s">
        <v>12</v>
      </c>
      <c r="E4">
        <v>5</v>
      </c>
      <c r="F4">
        <v>8</v>
      </c>
      <c r="G4" s="1" t="str">
        <f xml:space="preserve"> _xlfn.XLOOKUP(C4,Lookup!A:A,Lookup!C:C)</f>
        <v>Standard</v>
      </c>
      <c r="H4" s="1">
        <f t="shared" si="0"/>
        <v>3</v>
      </c>
    </row>
    <row r="5" spans="1:8" x14ac:dyDescent="0.3">
      <c r="A5">
        <v>4</v>
      </c>
      <c r="B5" s="1" t="s">
        <v>6</v>
      </c>
      <c r="C5" s="1" t="s">
        <v>13</v>
      </c>
      <c r="D5" s="1" t="s">
        <v>8</v>
      </c>
      <c r="E5">
        <v>6</v>
      </c>
      <c r="F5">
        <v>10</v>
      </c>
      <c r="G5" s="1" t="str">
        <f xml:space="preserve"> _xlfn.XLOOKUP(C5,Lookup!A:A,Lookup!C:C)</f>
        <v>Standard</v>
      </c>
      <c r="H5" s="1">
        <f t="shared" si="0"/>
        <v>4</v>
      </c>
    </row>
    <row r="6" spans="1:8" x14ac:dyDescent="0.3">
      <c r="A6">
        <v>5</v>
      </c>
      <c r="B6" s="1" t="s">
        <v>14</v>
      </c>
      <c r="C6" s="1" t="s">
        <v>7</v>
      </c>
      <c r="D6" s="1" t="s">
        <v>10</v>
      </c>
      <c r="E6">
        <v>2</v>
      </c>
      <c r="F6">
        <v>5</v>
      </c>
      <c r="G6" s="1" t="str">
        <f xml:space="preserve"> _xlfn.XLOOKUP(C6,Lookup!A:A,Lookup!C:C)</f>
        <v>Express</v>
      </c>
      <c r="H6" s="1">
        <f t="shared" si="0"/>
        <v>3</v>
      </c>
    </row>
    <row r="7" spans="1:8" x14ac:dyDescent="0.3">
      <c r="A7">
        <v>6</v>
      </c>
      <c r="B7" s="1" t="s">
        <v>14</v>
      </c>
      <c r="C7" s="1" t="s">
        <v>9</v>
      </c>
      <c r="D7" s="1" t="s">
        <v>12</v>
      </c>
      <c r="E7">
        <v>3</v>
      </c>
      <c r="F7">
        <v>3</v>
      </c>
      <c r="G7" s="1" t="str">
        <f xml:space="preserve"> _xlfn.XLOOKUP(C7,Lookup!A:A,Lookup!C:C)</f>
        <v>Express</v>
      </c>
      <c r="H7" s="1">
        <f t="shared" si="0"/>
        <v>0</v>
      </c>
    </row>
    <row r="8" spans="1:8" x14ac:dyDescent="0.3">
      <c r="A8">
        <v>7</v>
      </c>
      <c r="B8" s="1" t="s">
        <v>14</v>
      </c>
      <c r="C8" s="1" t="s">
        <v>11</v>
      </c>
      <c r="D8" s="1" t="s">
        <v>12</v>
      </c>
      <c r="E8">
        <v>5</v>
      </c>
      <c r="F8">
        <v>10</v>
      </c>
      <c r="G8" s="1" t="str">
        <f xml:space="preserve"> _xlfn.XLOOKUP(C8,Lookup!A:A,Lookup!C:C)</f>
        <v>Standard</v>
      </c>
      <c r="H8" s="1">
        <f t="shared" si="0"/>
        <v>5</v>
      </c>
    </row>
    <row r="9" spans="1:8" x14ac:dyDescent="0.3">
      <c r="A9">
        <v>8</v>
      </c>
      <c r="B9" s="1" t="s">
        <v>14</v>
      </c>
      <c r="C9" s="1" t="s">
        <v>13</v>
      </c>
      <c r="D9" s="1" t="s">
        <v>10</v>
      </c>
      <c r="E9">
        <v>6</v>
      </c>
      <c r="F9">
        <v>7</v>
      </c>
      <c r="G9" s="1" t="str">
        <f xml:space="preserve"> _xlfn.XLOOKUP(C9,Lookup!A:A,Lookup!C:C)</f>
        <v>Standard</v>
      </c>
      <c r="H9" s="1">
        <f t="shared" si="0"/>
        <v>1</v>
      </c>
    </row>
    <row r="10" spans="1:8" x14ac:dyDescent="0.3">
      <c r="A10">
        <v>9</v>
      </c>
      <c r="B10" s="1" t="s">
        <v>15</v>
      </c>
      <c r="C10" s="1" t="s">
        <v>7</v>
      </c>
      <c r="D10" s="1" t="s">
        <v>12</v>
      </c>
      <c r="E10">
        <v>2</v>
      </c>
      <c r="F10">
        <v>8</v>
      </c>
      <c r="G10" s="1" t="str">
        <f xml:space="preserve"> _xlfn.XLOOKUP(C10,Lookup!A:A,Lookup!C:C)</f>
        <v>Express</v>
      </c>
      <c r="H10" s="1">
        <f t="shared" si="0"/>
        <v>6</v>
      </c>
    </row>
    <row r="11" spans="1:8" x14ac:dyDescent="0.3">
      <c r="A11">
        <v>10</v>
      </c>
      <c r="B11" s="1" t="s">
        <v>15</v>
      </c>
      <c r="C11" s="1" t="s">
        <v>9</v>
      </c>
      <c r="D11" s="1" t="s">
        <v>8</v>
      </c>
      <c r="E11">
        <v>3</v>
      </c>
      <c r="F11">
        <v>5</v>
      </c>
      <c r="G11" s="1" t="str">
        <f xml:space="preserve"> _xlfn.XLOOKUP(C11,Lookup!A:A,Lookup!C:C)</f>
        <v>Express</v>
      </c>
      <c r="H11" s="1">
        <f t="shared" si="0"/>
        <v>2</v>
      </c>
    </row>
    <row r="12" spans="1:8" x14ac:dyDescent="0.3">
      <c r="A12">
        <v>11</v>
      </c>
      <c r="B12" s="1" t="s">
        <v>15</v>
      </c>
      <c r="C12" s="1" t="s">
        <v>11</v>
      </c>
      <c r="D12" s="1" t="s">
        <v>10</v>
      </c>
      <c r="E12">
        <v>5</v>
      </c>
      <c r="F12">
        <v>5</v>
      </c>
      <c r="G12" s="1" t="str">
        <f xml:space="preserve"> _xlfn.XLOOKUP(C12,Lookup!A:A,Lookup!C:C)</f>
        <v>Standard</v>
      </c>
      <c r="H12" s="1">
        <f t="shared" si="0"/>
        <v>0</v>
      </c>
    </row>
    <row r="13" spans="1:8" x14ac:dyDescent="0.3">
      <c r="A13">
        <v>12</v>
      </c>
      <c r="B13" s="1" t="s">
        <v>15</v>
      </c>
      <c r="C13" s="1" t="s">
        <v>13</v>
      </c>
      <c r="D13" s="1" t="s">
        <v>8</v>
      </c>
      <c r="E13">
        <v>6</v>
      </c>
      <c r="F13">
        <v>15</v>
      </c>
      <c r="G13" s="1" t="str">
        <f xml:space="preserve"> _xlfn.XLOOKUP(C13,Lookup!A:A,Lookup!C:C)</f>
        <v>Standard</v>
      </c>
      <c r="H13" s="1">
        <f t="shared" si="0"/>
        <v>9</v>
      </c>
    </row>
    <row r="17" spans="2:3" x14ac:dyDescent="0.3">
      <c r="B17" s="3" t="s">
        <v>26</v>
      </c>
      <c r="C17" s="3">
        <f>COUNT(_xlfn.UNIQUE(Deliveries5[record_id]))</f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C07C8-31AB-4FA3-8D19-295EF0BE9E6D}">
  <dimension ref="A1:E11"/>
  <sheetViews>
    <sheetView tabSelected="1" workbookViewId="0">
      <selection activeCell="E8" sqref="E8:E11"/>
      <pivotSelection pane="bottomRight" showHeader="1" extendable="1" axis="axisCol" start="3" max="4" activeRow="7" activeCol="4" previousRow="7" previousCol="4" click="1" r:id="rId1">
        <pivotArea dataOnly="0" grandCol="1" outline="0" fieldPosition="0"/>
      </pivotSelection>
    </sheetView>
  </sheetViews>
  <sheetFormatPr defaultRowHeight="14.4" x14ac:dyDescent="0.3"/>
  <cols>
    <col min="1" max="1" width="16.33203125" bestFit="1" customWidth="1"/>
    <col min="2" max="2" width="15.5546875" bestFit="1" customWidth="1"/>
    <col min="3" max="4" width="4.109375" bestFit="1" customWidth="1"/>
    <col min="5" max="5" width="10.5546875" bestFit="1" customWidth="1"/>
  </cols>
  <sheetData>
    <row r="1" spans="1:5" ht="28.8" x14ac:dyDescent="0.3">
      <c r="A1" s="6" t="s">
        <v>28</v>
      </c>
      <c r="B1" s="6" t="s">
        <v>29</v>
      </c>
    </row>
    <row r="2" spans="1:5" x14ac:dyDescent="0.3">
      <c r="A2" s="7" t="s">
        <v>10</v>
      </c>
      <c r="B2" s="8">
        <f xml:space="preserve"> SUMIFS(Clean!H:H,Clean!D:D,A2)</f>
        <v>5</v>
      </c>
    </row>
    <row r="3" spans="1:5" x14ac:dyDescent="0.3">
      <c r="A3" s="7" t="s">
        <v>12</v>
      </c>
      <c r="B3" s="8">
        <f xml:space="preserve"> SUMIFS(Clean!H:H,Clean!D:D,A3)</f>
        <v>14</v>
      </c>
    </row>
    <row r="4" spans="1:5" x14ac:dyDescent="0.3">
      <c r="A4" s="7" t="s">
        <v>8</v>
      </c>
      <c r="B4" s="8">
        <f xml:space="preserve"> SUMIFS(Clean!H:H,Clean!D:D,A4)</f>
        <v>15</v>
      </c>
    </row>
    <row r="7" spans="1:5" x14ac:dyDescent="0.3">
      <c r="A7" s="4" t="s">
        <v>33</v>
      </c>
      <c r="B7" s="4" t="s">
        <v>32</v>
      </c>
    </row>
    <row r="8" spans="1:5" x14ac:dyDescent="0.3">
      <c r="A8" s="4" t="s">
        <v>30</v>
      </c>
      <c r="B8" t="s">
        <v>6</v>
      </c>
      <c r="C8" t="s">
        <v>14</v>
      </c>
      <c r="D8" t="s">
        <v>15</v>
      </c>
      <c r="E8" t="s">
        <v>31</v>
      </c>
    </row>
    <row r="9" spans="1:5" x14ac:dyDescent="0.3">
      <c r="A9" s="5" t="s">
        <v>19</v>
      </c>
      <c r="B9" s="1">
        <v>1</v>
      </c>
      <c r="C9" s="1">
        <v>3</v>
      </c>
      <c r="D9" s="1">
        <v>8</v>
      </c>
      <c r="E9" s="1">
        <v>12</v>
      </c>
    </row>
    <row r="10" spans="1:5" x14ac:dyDescent="0.3">
      <c r="A10" s="5" t="s">
        <v>22</v>
      </c>
      <c r="B10" s="1">
        <v>7</v>
      </c>
      <c r="C10" s="1">
        <v>6</v>
      </c>
      <c r="D10" s="1">
        <v>9</v>
      </c>
      <c r="E10" s="1">
        <v>22</v>
      </c>
    </row>
    <row r="11" spans="1:5" x14ac:dyDescent="0.3">
      <c r="A11" s="5" t="s">
        <v>31</v>
      </c>
      <c r="B11" s="1">
        <v>8</v>
      </c>
      <c r="C11" s="1">
        <v>9</v>
      </c>
      <c r="D11" s="1">
        <v>17</v>
      </c>
      <c r="E11" s="1">
        <v>34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1910AB-2318-4B30-8154-3973E759C2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Lookup</vt:lpstr>
      <vt:lpstr>Clean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Jeel Prajapati</dc:creator>
  <cp:lastModifiedBy>Jeel Prajapati</cp:lastModifiedBy>
  <dcterms:created xsi:type="dcterms:W3CDTF">2026-09-26T06:48:45Z</dcterms:created>
  <dcterms:modified xsi:type="dcterms:W3CDTF">2026-09-26T07:31:29Z</dcterms:modified>
</cp:coreProperties>
</file>